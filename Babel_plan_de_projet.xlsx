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Risques et points ouv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 mmm"/>
    <numFmt numFmtId="166" formatCode=";;;"/>
  </numFmts>
  <fonts count="10">
    <font>
      <name val="Calibri"/>
      <family val="2"/>
      <color theme="1"/>
      <sz val="11"/>
      <scheme val="minor"/>
    </font>
    <font>
      <b val="1"/>
      <color rgb="001F2A37"/>
      <sz val="16"/>
    </font>
    <font>
      <i val="1"/>
      <color rgb="0055606E"/>
    </font>
    <font>
      <b val="1"/>
      <color rgb="00FFFFFF"/>
    </font>
    <font>
      <color rgb="0055606E"/>
      <sz val="9"/>
    </font>
    <font>
      <b val="1"/>
      <color rgb="001F2A37"/>
    </font>
    <font>
      <color rgb="00FFFFFF"/>
      <sz val="1"/>
    </font>
    <font>
      <b val="1"/>
      <sz val="12"/>
    </font>
    <font>
      <b val="1"/>
      <color rgb="001F2A37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F4A6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C9D1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165" fontId="3" fillId="2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0" borderId="1" applyAlignment="1" pivotButton="0" quotePrefix="0" xfId="0">
      <alignment horizontal="left" vertical="top" wrapText="1"/>
    </xf>
    <xf numFmtId="165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166" fontId="6" fillId="0" borderId="1" pivotButton="0" quotePrefix="0" xfId="0"/>
    <xf numFmtId="0" fontId="8" fillId="0" borderId="0" pivotButton="0" quotePrefix="0" xfId="0"/>
    <xf numFmtId="0" fontId="3" fillId="2" borderId="0" pivotButton="0" quotePrefix="0" xfId="0"/>
    <xf numFmtId="9" fontId="0" fillId="0" borderId="0" pivotButton="0" quotePrefix="0" xfId="0"/>
    <xf numFmtId="0" fontId="9" fillId="0" borderId="0" pivotButton="0" quotePrefix="0" xfId="0"/>
    <xf numFmtId="9" fontId="9" fillId="0" borderId="0" pivotButton="0" quotePrefix="0" xfId="0"/>
    <xf numFmtId="165" fontId="0" fillId="0" borderId="0" applyAlignment="1" pivotButton="0" quotePrefix="0" xfId="0">
      <alignment horizontal="left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7FB685"/>
          <bgColor rgb="007FB685"/>
        </patternFill>
      </fill>
    </dxf>
    <dxf>
      <fill>
        <patternFill patternType="solid">
          <fgColor rgb="00D9706A"/>
          <bgColor rgb="00D9706A"/>
        </patternFill>
      </fill>
    </dxf>
    <dxf>
      <fill>
        <patternFill patternType="solid">
          <fgColor rgb="006F97C4"/>
          <bgColor rgb="006F97C4"/>
        </patternFill>
      </fill>
    </dxf>
    <dxf>
      <fill>
        <patternFill patternType="solid">
          <fgColor rgb="00C6E5CA"/>
          <bgColor rgb="00C6E5CA"/>
        </patternFill>
      </fill>
    </dxf>
    <dxf>
      <fill>
        <patternFill patternType="solid">
          <fgColor rgb="00FFF0BF"/>
          <bgColor rgb="00FFF0BF"/>
        </patternFill>
      </fill>
    </dxf>
    <dxf>
      <fill>
        <patternFill patternType="solid">
          <fgColor rgb="00F5C6C3"/>
          <bgColor rgb="00F5C6C3"/>
        </patternFill>
      </fill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8" customWidth="1" min="2" max="2"/>
    <col width="16" customWidth="1" min="3" max="3"/>
    <col width="9" customWidth="1" min="4" max="4"/>
    <col width="9" customWidth="1" min="5" max="5"/>
    <col width="13" customWidth="1" min="6" max="6"/>
    <col width="46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Projet « Tour de Babel » – Plan de projet</t>
        </is>
      </c>
    </row>
    <row r="2">
      <c r="A2" s="2" t="inlineStr">
        <is>
          <t>La Villaine Bidouille · Chef de projet : Éric · Responsables techniques : Éric et Samuel (PCB) · Première version : 31 oct. 2026. Mettre à jour la colonne Statut (liste déroulante).</t>
        </is>
      </c>
    </row>
    <row r="3">
      <c r="B3" s="3">
        <f>"Avancement global : "&amp;TEXT(COUNTIF($F$6:$F$40,"Terminé")/COUNTA(B6:B40),"0%")</f>
        <v/>
      </c>
    </row>
    <row r="4">
      <c r="H4" s="4" t="inlineStr">
        <is>
          <t>Semaine du (lundi)</t>
        </is>
      </c>
    </row>
    <row r="5" ht="30" customHeight="1">
      <c r="A5" s="5" t="inlineStr">
        <is>
          <t>N°</t>
        </is>
      </c>
      <c r="B5" s="5" t="inlineStr">
        <is>
          <t>Tâche</t>
        </is>
      </c>
      <c r="C5" s="5" t="inlineStr">
        <is>
          <t>Responsable</t>
        </is>
      </c>
      <c r="D5" s="6" t="inlineStr">
        <is>
          <t>Début</t>
        </is>
      </c>
      <c r="E5" s="6" t="inlineStr">
        <is>
          <t>Fin</t>
        </is>
      </c>
      <c r="F5" s="6" t="inlineStr">
        <is>
          <t>Statut</t>
        </is>
      </c>
      <c r="G5" s="5" t="inlineStr">
        <is>
          <t>Notes</t>
        </is>
      </c>
      <c r="H5" s="7" t="n">
        <v>46293</v>
      </c>
      <c r="I5" s="7" t="n">
        <v>46300</v>
      </c>
      <c r="J5" s="7" t="n">
        <v>46307</v>
      </c>
      <c r="K5" s="7" t="n">
        <v>46314</v>
      </c>
      <c r="L5" s="7" t="n">
        <v>46321</v>
      </c>
    </row>
    <row r="6">
      <c r="A6" s="8" t="inlineStr">
        <is>
          <t>1. Décisions et lancement</t>
        </is>
      </c>
      <c r="H6" s="8" t="n"/>
      <c r="I6" s="8" t="n"/>
      <c r="J6" s="8" t="n"/>
      <c r="K6" s="8" t="n"/>
      <c r="L6" s="8" t="n"/>
    </row>
    <row r="7">
      <c r="A7" s="9" t="inlineStr">
        <is>
          <t>1.1</t>
        </is>
      </c>
      <c r="B7" s="9" t="inlineStr">
        <is>
          <t>Réunion de lancement : périmètre, rôles, point hebdomadaire</t>
        </is>
      </c>
      <c r="C7" s="9" t="inlineStr">
        <is>
          <t>Éric</t>
        </is>
      </c>
      <c r="D7" s="10" t="n"/>
      <c r="E7" s="10" t="n"/>
      <c r="F7" s="11" t="inlineStr">
        <is>
          <t>Terminé</t>
        </is>
      </c>
      <c r="G7" s="9" t="inlineStr">
        <is>
          <t>Projet démarré</t>
        </is>
      </c>
      <c r="H7" s="12">
        <f>IF(OR($D7="",$E7=""),"",IF(AND($D7&lt;=H$5+6,$E7&gt;=H$5),1,""))</f>
        <v/>
      </c>
      <c r="I7" s="12">
        <f>IF(OR($D7="",$E7=""),"",IF(AND($D7&lt;=I$5+6,$E7&gt;=I$5),1,""))</f>
        <v/>
      </c>
      <c r="J7" s="12">
        <f>IF(OR($D7="",$E7=""),"",IF(AND($D7&lt;=J$5+6,$E7&gt;=J$5),1,""))</f>
        <v/>
      </c>
      <c r="K7" s="12">
        <f>IF(OR($D7="",$E7=""),"",IF(AND($D7&lt;=K$5+6,$E7&gt;=K$5),1,""))</f>
        <v/>
      </c>
      <c r="L7" s="12">
        <f>IF(OR($D7="",$E7=""),"",IF(AND($D7&lt;=L$5+6,$E7&gt;=L$5),1,""))</f>
        <v/>
      </c>
    </row>
    <row r="8">
      <c r="A8" s="9" t="inlineStr">
        <is>
          <t>1.2</t>
        </is>
      </c>
      <c r="B8" s="9" t="inlineStr">
        <is>
          <t>Confirmer les langues des sons (FR, EN, ES, DE, gallo...)</t>
        </is>
      </c>
      <c r="C8" s="9" t="inlineStr">
        <is>
          <t>À attribuer</t>
        </is>
      </c>
      <c r="D8" s="10" t="n">
        <v>46296</v>
      </c>
      <c r="E8" s="10" t="n">
        <v>46302</v>
      </c>
      <c r="F8" s="11" t="inlineStr">
        <is>
          <t>En cours</t>
        </is>
      </c>
      <c r="G8" s="9" t="inlineStr">
        <is>
          <t>« À confirmer » dans le briefing. Statut à vérifier</t>
        </is>
      </c>
      <c r="H8" s="12">
        <f>IF(OR($D8="",$E8=""),"",IF(AND($D8&lt;=H$5+6,$E8&gt;=H$5),1,""))</f>
        <v/>
      </c>
      <c r="I8" s="12">
        <f>IF(OR($D8="",$E8=""),"",IF(AND($D8&lt;=I$5+6,$E8&gt;=I$5),1,""))</f>
        <v/>
      </c>
      <c r="J8" s="12">
        <f>IF(OR($D8="",$E8=""),"",IF(AND($D8&lt;=J$5+6,$E8&gt;=J$5),1,""))</f>
        <v/>
      </c>
      <c r="K8" s="12">
        <f>IF(OR($D8="",$E8=""),"",IF(AND($D8&lt;=K$5+6,$E8&gt;=K$5),1,""))</f>
        <v/>
      </c>
      <c r="L8" s="12">
        <f>IF(OR($D8="",$E8=""),"",IF(AND($D8&lt;=L$5+6,$E8&gt;=L$5),1,""))</f>
        <v/>
      </c>
    </row>
    <row r="9">
      <c r="A9" s="9" t="inlineStr">
        <is>
          <t>1.3</t>
        </is>
      </c>
      <c r="B9" s="9" t="inlineStr">
        <is>
          <t>Décider : écriture du profil sur la puce RFID à l'accueil dans la V1 ?</t>
        </is>
      </c>
      <c r="C9" s="9" t="inlineStr">
        <is>
          <t>Éric</t>
        </is>
      </c>
      <c r="D9" s="10" t="n">
        <v>46296</v>
      </c>
      <c r="E9" s="10" t="n">
        <v>46302</v>
      </c>
      <c r="F9" s="11" t="inlineStr">
        <is>
          <t>En cours</t>
        </is>
      </c>
      <c r="G9" s="9" t="inlineStr">
        <is>
          <t>Non défini dans le briefing. Suggestion : hors V1. Statut à vérifier</t>
        </is>
      </c>
      <c r="H9" s="12">
        <f>IF(OR($D9="",$E9=""),"",IF(AND($D9&lt;=H$5+6,$E9&gt;=H$5),1,""))</f>
        <v/>
      </c>
      <c r="I9" s="12">
        <f>IF(OR($D9="",$E9=""),"",IF(AND($D9&lt;=I$5+6,$E9&gt;=I$5),1,""))</f>
        <v/>
      </c>
      <c r="J9" s="12">
        <f>IF(OR($D9="",$E9=""),"",IF(AND($D9&lt;=J$5+6,$E9&gt;=J$5),1,""))</f>
        <v/>
      </c>
      <c r="K9" s="12">
        <f>IF(OR($D9="",$E9=""),"",IF(AND($D9&lt;=K$5+6,$E9&gt;=K$5),1,""))</f>
        <v/>
      </c>
      <c r="L9" s="12">
        <f>IF(OR($D9="",$E9=""),"",IF(AND($D9&lt;=L$5+6,$E9&gt;=L$5),1,""))</f>
        <v/>
      </c>
    </row>
    <row r="10">
      <c r="A10" s="9" t="inlineStr">
        <is>
          <t>1.4</t>
        </is>
      </c>
      <c r="B10" s="9" t="inlineStr">
        <is>
          <t>Convenir avec le partenaire du format et de la date de livraison des sons</t>
        </is>
      </c>
      <c r="C10" s="9" t="inlineStr">
        <is>
          <t>Éric</t>
        </is>
      </c>
      <c r="D10" s="10" t="n">
        <v>46296</v>
      </c>
      <c r="E10" s="10" t="n">
        <v>46302</v>
      </c>
      <c r="F10" s="11" t="inlineStr">
        <is>
          <t>En cours</t>
        </is>
      </c>
      <c r="G10" s="9" t="inlineStr">
        <is>
          <t>Statut à vérifier</t>
        </is>
      </c>
      <c r="H10" s="12">
        <f>IF(OR($D10="",$E10=""),"",IF(AND($D10&lt;=H$5+6,$E10&gt;=H$5),1,""))</f>
        <v/>
      </c>
      <c r="I10" s="12">
        <f>IF(OR($D10="",$E10=""),"",IF(AND($D10&lt;=I$5+6,$E10&gt;=I$5),1,""))</f>
        <v/>
      </c>
      <c r="J10" s="12">
        <f>IF(OR($D10="",$E10=""),"",IF(AND($D10&lt;=J$5+6,$E10&gt;=J$5),1,""))</f>
        <v/>
      </c>
      <c r="K10" s="12">
        <f>IF(OR($D10="",$E10=""),"",IF(AND($D10&lt;=K$5+6,$E10&gt;=K$5),1,""))</f>
        <v/>
      </c>
      <c r="L10" s="12">
        <f>IF(OR($D10="",$E10=""),"",IF(AND($D10&lt;=L$5+6,$E10&gt;=L$5),1,""))</f>
        <v/>
      </c>
    </row>
    <row r="11">
      <c r="A11" s="9" t="inlineStr">
        <is>
          <t>1.5</t>
        </is>
      </c>
      <c r="B11" s="9" t="inlineStr">
        <is>
          <t>Décider : décoration LED dans la V1 ou non</t>
        </is>
      </c>
      <c r="C11" s="9" t="inlineStr">
        <is>
          <t>À attribuer</t>
        </is>
      </c>
      <c r="D11" s="10" t="n">
        <v>46296</v>
      </c>
      <c r="E11" s="10" t="n">
        <v>46302</v>
      </c>
      <c r="F11" s="11" t="inlineStr">
        <is>
          <t>En cours</t>
        </is>
      </c>
      <c r="G11" s="9" t="inlineStr">
        <is>
          <t>« Si nécessaire » dans le briefing. Statut à vérifier</t>
        </is>
      </c>
      <c r="H11" s="12">
        <f>IF(OR($D11="",$E11=""),"",IF(AND($D11&lt;=H$5+6,$E11&gt;=H$5),1,""))</f>
        <v/>
      </c>
      <c r="I11" s="12">
        <f>IF(OR($D11="",$E11=""),"",IF(AND($D11&lt;=I$5+6,$E11&gt;=I$5),1,""))</f>
        <v/>
      </c>
      <c r="J11" s="12">
        <f>IF(OR($D11="",$E11=""),"",IF(AND($D11&lt;=J$5+6,$E11&gt;=J$5),1,""))</f>
        <v/>
      </c>
      <c r="K11" s="12">
        <f>IF(OR($D11="",$E11=""),"",IF(AND($D11&lt;=K$5+6,$E11&gt;=K$5),1,""))</f>
        <v/>
      </c>
      <c r="L11" s="12">
        <f>IF(OR($D11="",$E11=""),"",IF(AND($D11&lt;=L$5+6,$E11&gt;=L$5),1,""))</f>
        <v/>
      </c>
    </row>
    <row r="12">
      <c r="A12" s="8" t="inlineStr">
        <is>
          <t>2. Prototype électronique (plaque d'essai)</t>
        </is>
      </c>
      <c r="H12" s="8" t="n"/>
      <c r="I12" s="8" t="n"/>
      <c r="J12" s="8" t="n"/>
      <c r="K12" s="8" t="n"/>
      <c r="L12" s="8" t="n"/>
    </row>
    <row r="13">
      <c r="A13" s="9" t="inlineStr">
        <is>
          <t>2.1</t>
        </is>
      </c>
      <c r="B13" s="9" t="inlineStr">
        <is>
          <t>Choisir et commander les composants (Arduino, DFPlayer, lecteur RFID + badges, capteurs, haut-parleur, alimentation)</t>
        </is>
      </c>
      <c r="C13" s="9" t="inlineStr">
        <is>
          <t>Éric / Samuel</t>
        </is>
      </c>
      <c r="D13" s="10" t="n"/>
      <c r="E13" s="10" t="n">
        <v>46302</v>
      </c>
      <c r="F13" s="11" t="inlineStr">
        <is>
          <t>En cours</t>
        </is>
      </c>
      <c r="G13" s="9" t="inlineStr">
        <is>
          <t>Matériel en grande partie reçu. Lister ce qui manque</t>
        </is>
      </c>
      <c r="H13" s="12">
        <f>IF(OR($D13="",$E13=""),"",IF(AND($D13&lt;=H$5+6,$E13&gt;=H$5),1,""))</f>
        <v/>
      </c>
      <c r="I13" s="12">
        <f>IF(OR($D13="",$E13=""),"",IF(AND($D13&lt;=I$5+6,$E13&gt;=I$5),1,""))</f>
        <v/>
      </c>
      <c r="J13" s="12">
        <f>IF(OR($D13="",$E13=""),"",IF(AND($D13&lt;=J$5+6,$E13&gt;=J$5),1,""))</f>
        <v/>
      </c>
      <c r="K13" s="12">
        <f>IF(OR($D13="",$E13=""),"",IF(AND($D13&lt;=K$5+6,$E13&gt;=K$5),1,""))</f>
        <v/>
      </c>
      <c r="L13" s="12">
        <f>IF(OR($D13="",$E13=""),"",IF(AND($D13&lt;=L$5+6,$E13&gt;=L$5),1,""))</f>
        <v/>
      </c>
    </row>
    <row r="14">
      <c r="A14" s="9" t="inlineStr">
        <is>
          <t>2.2</t>
        </is>
      </c>
      <c r="B14" s="9" t="inlineStr">
        <is>
          <t>RFID : lire l'identifiant du badge de façon fiable</t>
        </is>
      </c>
      <c r="C14" s="9" t="inlineStr">
        <is>
          <t>Éric / Samuel</t>
        </is>
      </c>
      <c r="D14" s="10" t="n"/>
      <c r="E14" s="10" t="n"/>
      <c r="F14" s="11" t="inlineStr">
        <is>
          <t>Terminé</t>
        </is>
      </c>
      <c r="G14" s="9" t="inlineStr">
        <is>
          <t>D'après l'avancement du logiciel. Statut à vérifier</t>
        </is>
      </c>
      <c r="H14" s="12">
        <f>IF(OR($D14="",$E14=""),"",IF(AND($D14&lt;=H$5+6,$E14&gt;=H$5),1,""))</f>
        <v/>
      </c>
      <c r="I14" s="12">
        <f>IF(OR($D14="",$E14=""),"",IF(AND($D14&lt;=I$5+6,$E14&gt;=I$5),1,""))</f>
        <v/>
      </c>
      <c r="J14" s="12">
        <f>IF(OR($D14="",$E14=""),"",IF(AND($D14&lt;=J$5+6,$E14&gt;=J$5),1,""))</f>
        <v/>
      </c>
      <c r="K14" s="12">
        <f>IF(OR($D14="",$E14=""),"",IF(AND($D14&lt;=K$5+6,$E14&gt;=K$5),1,""))</f>
        <v/>
      </c>
      <c r="L14" s="12">
        <f>IF(OR($D14="",$E14=""),"",IF(AND($D14&lt;=L$5+6,$E14&gt;=L$5),1,""))</f>
        <v/>
      </c>
    </row>
    <row r="15">
      <c r="A15" s="9" t="inlineStr">
        <is>
          <t>2.3</t>
        </is>
      </c>
      <c r="B15" s="9" t="inlineStr">
        <is>
          <t>Audio : lire les fichiers de la carte SD avec le DFPlayer</t>
        </is>
      </c>
      <c r="C15" s="9" t="inlineStr">
        <is>
          <t>Éric / Samuel</t>
        </is>
      </c>
      <c r="D15" s="10" t="n"/>
      <c r="E15" s="10" t="n"/>
      <c r="F15" s="11" t="inlineStr">
        <is>
          <t>Terminé</t>
        </is>
      </c>
      <c r="G15" s="9" t="inlineStr">
        <is>
          <t>Statut à vérifier</t>
        </is>
      </c>
      <c r="H15" s="12">
        <f>IF(OR($D15="",$E15=""),"",IF(AND($D15&lt;=H$5+6,$E15&gt;=H$5),1,""))</f>
        <v/>
      </c>
      <c r="I15" s="12">
        <f>IF(OR($D15="",$E15=""),"",IF(AND($D15&lt;=I$5+6,$E15&gt;=I$5),1,""))</f>
        <v/>
      </c>
      <c r="J15" s="12">
        <f>IF(OR($D15="",$E15=""),"",IF(AND($D15&lt;=J$5+6,$E15&gt;=J$5),1,""))</f>
        <v/>
      </c>
      <c r="K15" s="12">
        <f>IF(OR($D15="",$E15=""),"",IF(AND($D15&lt;=K$5+6,$E15&gt;=K$5),1,""))</f>
        <v/>
      </c>
      <c r="L15" s="12">
        <f>IF(OR($D15="",$E15=""),"",IF(AND($D15&lt;=L$5+6,$E15&gt;=L$5),1,""))</f>
        <v/>
      </c>
    </row>
    <row r="16">
      <c r="A16" s="9" t="inlineStr">
        <is>
          <t>2.4</t>
        </is>
      </c>
      <c r="B16" s="9" t="inlineStr">
        <is>
          <t>Capteurs du haut de la tour : choix de la langue et lecture/pause</t>
        </is>
      </c>
      <c r="C16" s="9" t="inlineStr">
        <is>
          <t>Éric / Samuel</t>
        </is>
      </c>
      <c r="D16" s="10" t="n"/>
      <c r="E16" s="10" t="n"/>
      <c r="F16" s="11" t="inlineStr">
        <is>
          <t>Terminé</t>
        </is>
      </c>
      <c r="G16" s="9" t="inlineStr">
        <is>
          <t>Statut à vérifier</t>
        </is>
      </c>
      <c r="H16" s="12">
        <f>IF(OR($D16="",$E16=""),"",IF(AND($D16&lt;=H$5+6,$E16&gt;=H$5),1,""))</f>
        <v/>
      </c>
      <c r="I16" s="12">
        <f>IF(OR($D16="",$E16=""),"",IF(AND($D16&lt;=I$5+6,$E16&gt;=I$5),1,""))</f>
        <v/>
      </c>
      <c r="J16" s="12">
        <f>IF(OR($D16="",$E16=""),"",IF(AND($D16&lt;=J$5+6,$E16&gt;=J$5),1,""))</f>
        <v/>
      </c>
      <c r="K16" s="12">
        <f>IF(OR($D16="",$E16=""),"",IF(AND($D16&lt;=K$5+6,$E16&gt;=K$5),1,""))</f>
        <v/>
      </c>
      <c r="L16" s="12">
        <f>IF(OR($D16="",$E16=""),"",IF(AND($D16&lt;=L$5+6,$E16&gt;=L$5),1,""))</f>
        <v/>
      </c>
    </row>
    <row r="17">
      <c r="A17" s="9" t="inlineStr">
        <is>
          <t>2.5</t>
        </is>
      </c>
      <c r="B17" s="9" t="inlineStr">
        <is>
          <t>Assembler RFID, capteurs et audio sur une même plaque</t>
        </is>
      </c>
      <c r="C17" s="9" t="inlineStr">
        <is>
          <t>Éric / Samuel</t>
        </is>
      </c>
      <c r="D17" s="10" t="n"/>
      <c r="E17" s="10" t="n"/>
      <c r="F17" s="11" t="inlineStr">
        <is>
          <t>Terminé</t>
        </is>
      </c>
      <c r="G17" s="9" t="inlineStr">
        <is>
          <t>Statut à vérifier</t>
        </is>
      </c>
      <c r="H17" s="12">
        <f>IF(OR($D17="",$E17=""),"",IF(AND($D17&lt;=H$5+6,$E17&gt;=H$5),1,""))</f>
        <v/>
      </c>
      <c r="I17" s="12">
        <f>IF(OR($D17="",$E17=""),"",IF(AND($D17&lt;=I$5+6,$E17&gt;=I$5),1,""))</f>
        <v/>
      </c>
      <c r="J17" s="12">
        <f>IF(OR($D17="",$E17=""),"",IF(AND($D17&lt;=J$5+6,$E17&gt;=J$5),1,""))</f>
        <v/>
      </c>
      <c r="K17" s="12">
        <f>IF(OR($D17="",$E17=""),"",IF(AND($D17&lt;=K$5+6,$E17&gt;=K$5),1,""))</f>
        <v/>
      </c>
      <c r="L17" s="12">
        <f>IF(OR($D17="",$E17=""),"",IF(AND($D17&lt;=L$5+6,$E17&gt;=L$5),1,""))</f>
        <v/>
      </c>
    </row>
    <row r="18">
      <c r="A18" s="8" t="inlineStr">
        <is>
          <t>3. Logiciel</t>
        </is>
      </c>
      <c r="H18" s="8" t="n"/>
      <c r="I18" s="8" t="n"/>
      <c r="J18" s="8" t="n"/>
      <c r="K18" s="8" t="n"/>
      <c r="L18" s="8" t="n"/>
    </row>
    <row r="19">
      <c r="A19" s="9" t="inlineStr">
        <is>
          <t>3.1</t>
        </is>
      </c>
      <c r="B19" s="9" t="inlineStr">
        <is>
          <t>Structure du programme : repos, badge détecté, lecture, pause</t>
        </is>
      </c>
      <c r="C19" s="9" t="inlineStr">
        <is>
          <t>Éric / Samuel</t>
        </is>
      </c>
      <c r="D19" s="10" t="n"/>
      <c r="E19" s="10" t="n"/>
      <c r="F19" s="11" t="inlineStr">
        <is>
          <t>Terminé</t>
        </is>
      </c>
      <c r="G19" s="9" t="inlineStr"/>
      <c r="H19" s="12">
        <f>IF(OR($D19="",$E19=""),"",IF(AND($D19&lt;=H$5+6,$E19&gt;=H$5),1,""))</f>
        <v/>
      </c>
      <c r="I19" s="12">
        <f>IF(OR($D19="",$E19=""),"",IF(AND($D19&lt;=I$5+6,$E19&gt;=I$5),1,""))</f>
        <v/>
      </c>
      <c r="J19" s="12">
        <f>IF(OR($D19="",$E19=""),"",IF(AND($D19&lt;=J$5+6,$E19&gt;=J$5),1,""))</f>
        <v/>
      </c>
      <c r="K19" s="12">
        <f>IF(OR($D19="",$E19=""),"",IF(AND($D19&lt;=K$5+6,$E19&gt;=K$5),1,""))</f>
        <v/>
      </c>
      <c r="L19" s="12">
        <f>IF(OR($D19="",$E19=""),"",IF(AND($D19&lt;=L$5+6,$E19&gt;=L$5),1,""))</f>
        <v/>
      </c>
    </row>
    <row r="20">
      <c r="A20" s="9" t="inlineStr">
        <is>
          <t>3.2</t>
        </is>
      </c>
      <c r="B20" s="9" t="inlineStr">
        <is>
          <t>Associer l'identifiant du badge à un flux de langue (séquence de sons)</t>
        </is>
      </c>
      <c r="C20" s="9" t="inlineStr">
        <is>
          <t>Éric / Samuel</t>
        </is>
      </c>
      <c r="D20" s="10" t="n"/>
      <c r="E20" s="10" t="n">
        <v>46309</v>
      </c>
      <c r="F20" s="11" t="inlineStr">
        <is>
          <t>En cours</t>
        </is>
      </c>
      <c r="G20" s="9" t="inlineStr">
        <is>
          <t>Presque terminé. Dépend du choix des langues</t>
        </is>
      </c>
      <c r="H20" s="12">
        <f>IF(OR($D20="",$E20=""),"",IF(AND($D20&lt;=H$5+6,$E20&gt;=H$5),1,""))</f>
        <v/>
      </c>
      <c r="I20" s="12">
        <f>IF(OR($D20="",$E20=""),"",IF(AND($D20&lt;=I$5+6,$E20&gt;=I$5),1,""))</f>
        <v/>
      </c>
      <c r="J20" s="12">
        <f>IF(OR($D20="",$E20=""),"",IF(AND($D20&lt;=J$5+6,$E20&gt;=J$5),1,""))</f>
        <v/>
      </c>
      <c r="K20" s="12">
        <f>IF(OR($D20="",$E20=""),"",IF(AND($D20&lt;=K$5+6,$E20&gt;=K$5),1,""))</f>
        <v/>
      </c>
      <c r="L20" s="12">
        <f>IF(OR($D20="",$E20=""),"",IF(AND($D20&lt;=L$5+6,$E20&gt;=L$5),1,""))</f>
        <v/>
      </c>
    </row>
    <row r="21">
      <c r="A21" s="9" t="inlineStr">
        <is>
          <t>3.3</t>
        </is>
      </c>
      <c r="B21" s="9" t="inlineStr">
        <is>
          <t>Lecture continue : fonctionner des heures sans défaut</t>
        </is>
      </c>
      <c r="C21" s="9" t="inlineStr">
        <is>
          <t>Éric / Samuel</t>
        </is>
      </c>
      <c r="D21" s="10" t="n">
        <v>46303</v>
      </c>
      <c r="E21" s="10" t="n">
        <v>46316</v>
      </c>
      <c r="F21" s="11" t="inlineStr">
        <is>
          <t>Non commencé</t>
        </is>
      </c>
      <c r="G21" s="9" t="inlineStr">
        <is>
          <t>Le briefing insiste sur la fiabilité</t>
        </is>
      </c>
      <c r="H21" s="12">
        <f>IF(OR($D21="",$E21=""),"",IF(AND($D21&lt;=H$5+6,$E21&gt;=H$5),1,""))</f>
        <v/>
      </c>
      <c r="I21" s="12">
        <f>IF(OR($D21="",$E21=""),"",IF(AND($D21&lt;=I$5+6,$E21&gt;=I$5),1,""))</f>
        <v/>
      </c>
      <c r="J21" s="12">
        <f>IF(OR($D21="",$E21=""),"",IF(AND($D21&lt;=J$5+6,$E21&gt;=J$5),1,""))</f>
        <v/>
      </c>
      <c r="K21" s="12">
        <f>IF(OR($D21="",$E21=""),"",IF(AND($D21&lt;=K$5+6,$E21&gt;=K$5),1,""))</f>
        <v/>
      </c>
      <c r="L21" s="12">
        <f>IF(OR($D21="",$E21=""),"",IF(AND($D21&lt;=L$5+6,$E21&gt;=L$5),1,""))</f>
        <v/>
      </c>
    </row>
    <row r="22">
      <c r="A22" s="9" t="inlineStr">
        <is>
          <t>3.4</t>
        </is>
      </c>
      <c r="B22" s="9" t="inlineStr">
        <is>
          <t>LED clignotantes (facultatif)</t>
        </is>
      </c>
      <c r="C22" s="9" t="inlineStr">
        <is>
          <t>À attribuer</t>
        </is>
      </c>
      <c r="D22" s="10" t="n">
        <v>46310</v>
      </c>
      <c r="E22" s="10" t="n">
        <v>46323</v>
      </c>
      <c r="F22" s="11" t="inlineStr">
        <is>
          <t>Non commencé</t>
        </is>
      </c>
      <c r="G22" s="9" t="inlineStr">
        <is>
          <t>Seulement si décidé en 1.5</t>
        </is>
      </c>
      <c r="H22" s="12">
        <f>IF(OR($D22="",$E22=""),"",IF(AND($D22&lt;=H$5+6,$E22&gt;=H$5),1,""))</f>
        <v/>
      </c>
      <c r="I22" s="12">
        <f>IF(OR($D22="",$E22=""),"",IF(AND($D22&lt;=I$5+6,$E22&gt;=I$5),1,""))</f>
        <v/>
      </c>
      <c r="J22" s="12">
        <f>IF(OR($D22="",$E22=""),"",IF(AND($D22&lt;=J$5+6,$E22&gt;=J$5),1,""))</f>
        <v/>
      </c>
      <c r="K22" s="12">
        <f>IF(OR($D22="",$E22=""),"",IF(AND($D22&lt;=K$5+6,$E22&gt;=K$5),1,""))</f>
        <v/>
      </c>
      <c r="L22" s="12">
        <f>IF(OR($D22="",$E22=""),"",IF(AND($D22&lt;=L$5+6,$E22&gt;=L$5),1,""))</f>
        <v/>
      </c>
    </row>
    <row r="23">
      <c r="A23" s="8" t="inlineStr">
        <is>
          <t>4. Contenu sonore</t>
        </is>
      </c>
      <c r="H23" s="8" t="n"/>
      <c r="I23" s="8" t="n"/>
      <c r="J23" s="8" t="n"/>
      <c r="K23" s="8" t="n"/>
      <c r="L23" s="8" t="n"/>
    </row>
    <row r="24">
      <c r="A24" s="9" t="inlineStr">
        <is>
          <t>4.1</t>
        </is>
      </c>
      <c r="B24" s="9" t="inlineStr">
        <is>
          <t>Le partenaire enregistre et rassemble les sons et histoires</t>
        </is>
      </c>
      <c r="C24" s="9" t="inlineStr">
        <is>
          <t>Partenaire contenu</t>
        </is>
      </c>
      <c r="D24" s="10" t="n">
        <v>46296</v>
      </c>
      <c r="E24" s="10" t="n">
        <v>46316</v>
      </c>
      <c r="F24" s="11" t="inlineStr">
        <is>
          <t>En cours</t>
        </is>
      </c>
      <c r="G24" s="9" t="inlineStr">
        <is>
          <t>Hors du contrôle du groupe. Relancer chaque semaine. Statut à vérifier</t>
        </is>
      </c>
      <c r="H24" s="12">
        <f>IF(OR($D24="",$E24=""),"",IF(AND($D24&lt;=H$5+6,$E24&gt;=H$5),1,""))</f>
        <v/>
      </c>
      <c r="I24" s="12">
        <f>IF(OR($D24="",$E24=""),"",IF(AND($D24&lt;=I$5+6,$E24&gt;=I$5),1,""))</f>
        <v/>
      </c>
      <c r="J24" s="12">
        <f>IF(OR($D24="",$E24=""),"",IF(AND($D24&lt;=J$5+6,$E24&gt;=J$5),1,""))</f>
        <v/>
      </c>
      <c r="K24" s="12">
        <f>IF(OR($D24="",$E24=""),"",IF(AND($D24&lt;=K$5+6,$E24&gt;=K$5),1,""))</f>
        <v/>
      </c>
      <c r="L24" s="12">
        <f>IF(OR($D24="",$E24=""),"",IF(AND($D24&lt;=L$5+6,$E24&gt;=L$5),1,""))</f>
        <v/>
      </c>
    </row>
    <row r="25">
      <c r="A25" s="9" t="inlineStr">
        <is>
          <t>4.2</t>
        </is>
      </c>
      <c r="B25" s="9" t="inlineStr">
        <is>
          <t>Trier et nommer les fichiers par langue pour le DFPlayer</t>
        </is>
      </c>
      <c r="C25" s="9" t="inlineStr">
        <is>
          <t>À attribuer</t>
        </is>
      </c>
      <c r="D25" s="10" t="n">
        <v>46310</v>
      </c>
      <c r="E25" s="10" t="n">
        <v>46319</v>
      </c>
      <c r="F25" s="11" t="inlineStr">
        <is>
          <t>Non commencé</t>
        </is>
      </c>
      <c r="G25" s="9" t="inlineStr"/>
      <c r="H25" s="12">
        <f>IF(OR($D25="",$E25=""),"",IF(AND($D25&lt;=H$5+6,$E25&gt;=H$5),1,""))</f>
        <v/>
      </c>
      <c r="I25" s="12">
        <f>IF(OR($D25="",$E25=""),"",IF(AND($D25&lt;=I$5+6,$E25&gt;=I$5),1,""))</f>
        <v/>
      </c>
      <c r="J25" s="12">
        <f>IF(OR($D25="",$E25=""),"",IF(AND($D25&lt;=J$5+6,$E25&gt;=J$5),1,""))</f>
        <v/>
      </c>
      <c r="K25" s="12">
        <f>IF(OR($D25="",$E25=""),"",IF(AND($D25&lt;=K$5+6,$E25&gt;=K$5),1,""))</f>
        <v/>
      </c>
      <c r="L25" s="12">
        <f>IF(OR($D25="",$E25=""),"",IF(AND($D25&lt;=L$5+6,$E25&gt;=L$5),1,""))</f>
        <v/>
      </c>
    </row>
    <row r="26">
      <c r="A26" s="9" t="inlineStr">
        <is>
          <t>4.3</t>
        </is>
      </c>
      <c r="B26" s="9" t="inlineStr">
        <is>
          <t>Charger la carte SD et tester sur le prototype</t>
        </is>
      </c>
      <c r="C26" s="9" t="inlineStr">
        <is>
          <t>À attribuer</t>
        </is>
      </c>
      <c r="D26" s="10" t="n">
        <v>46317</v>
      </c>
      <c r="E26" s="10" t="n">
        <v>46323</v>
      </c>
      <c r="F26" s="11" t="inlineStr">
        <is>
          <t>Non commencé</t>
        </is>
      </c>
      <c r="G26" s="9" t="inlineStr"/>
      <c r="H26" s="12">
        <f>IF(OR($D26="",$E26=""),"",IF(AND($D26&lt;=H$5+6,$E26&gt;=H$5),1,""))</f>
        <v/>
      </c>
      <c r="I26" s="12">
        <f>IF(OR($D26="",$E26=""),"",IF(AND($D26&lt;=I$5+6,$E26&gt;=I$5),1,""))</f>
        <v/>
      </c>
      <c r="J26" s="12">
        <f>IF(OR($D26="",$E26=""),"",IF(AND($D26&lt;=J$5+6,$E26&gt;=J$5),1,""))</f>
        <v/>
      </c>
      <c r="K26" s="12">
        <f>IF(OR($D26="",$E26=""),"",IF(AND($D26&lt;=K$5+6,$E26&gt;=K$5),1,""))</f>
        <v/>
      </c>
      <c r="L26" s="12">
        <f>IF(OR($D26="",$E26=""),"",IF(AND($D26&lt;=L$5+6,$E26&gt;=L$5),1,""))</f>
        <v/>
      </c>
    </row>
    <row r="27">
      <c r="A27" s="8" t="inlineStr">
        <is>
          <t>5. Structure de la tour</t>
        </is>
      </c>
      <c r="H27" s="8" t="n"/>
      <c r="I27" s="8" t="n"/>
      <c r="J27" s="8" t="n"/>
      <c r="K27" s="8" t="n"/>
      <c r="L27" s="8" t="n"/>
    </row>
    <row r="28">
      <c r="A28" s="9" t="inlineStr">
        <is>
          <t>5.1</t>
        </is>
      </c>
      <c r="B28" s="9" t="inlineStr">
        <is>
          <t>Concevoir la tour : forme, compartiment électronique, position des capteurs</t>
        </is>
      </c>
      <c r="C28" s="9" t="inlineStr">
        <is>
          <t>Éric / Samuel</t>
        </is>
      </c>
      <c r="D28" s="10" t="n"/>
      <c r="E28" s="10" t="n"/>
      <c r="F28" s="11" t="inlineStr">
        <is>
          <t>Terminé</t>
        </is>
      </c>
      <c r="G28" s="9" t="inlineStr">
        <is>
          <t>Tour construite</t>
        </is>
      </c>
      <c r="H28" s="12">
        <f>IF(OR($D28="",$E28=""),"",IF(AND($D28&lt;=H$5+6,$E28&gt;=H$5),1,""))</f>
        <v/>
      </c>
      <c r="I28" s="12">
        <f>IF(OR($D28="",$E28=""),"",IF(AND($D28&lt;=I$5+6,$E28&gt;=I$5),1,""))</f>
        <v/>
      </c>
      <c r="J28" s="12">
        <f>IF(OR($D28="",$E28=""),"",IF(AND($D28&lt;=J$5+6,$E28&gt;=J$5),1,""))</f>
        <v/>
      </c>
      <c r="K28" s="12">
        <f>IF(OR($D28="",$E28=""),"",IF(AND($D28&lt;=K$5+6,$E28&gt;=K$5),1,""))</f>
        <v/>
      </c>
      <c r="L28" s="12">
        <f>IF(OR($D28="",$E28=""),"",IF(AND($D28&lt;=L$5+6,$E28&gt;=L$5),1,""))</f>
        <v/>
      </c>
    </row>
    <row r="29">
      <c r="A29" s="9" t="inlineStr">
        <is>
          <t>5.2</t>
        </is>
      </c>
      <c r="B29" s="9" t="inlineStr">
        <is>
          <t>Découpe laser d'un essai en carton pour vérifier l'ajustement</t>
        </is>
      </c>
      <c r="C29" s="9" t="inlineStr">
        <is>
          <t>Éric / Samuel</t>
        </is>
      </c>
      <c r="D29" s="10" t="n"/>
      <c r="E29" s="10" t="n"/>
      <c r="F29" s="11" t="inlineStr">
        <is>
          <t>Terminé</t>
        </is>
      </c>
      <c r="G29" s="9" t="inlineStr"/>
      <c r="H29" s="12">
        <f>IF(OR($D29="",$E29=""),"",IF(AND($D29&lt;=H$5+6,$E29&gt;=H$5),1,""))</f>
        <v/>
      </c>
      <c r="I29" s="12">
        <f>IF(OR($D29="",$E29=""),"",IF(AND($D29&lt;=I$5+6,$E29&gt;=I$5),1,""))</f>
        <v/>
      </c>
      <c r="J29" s="12">
        <f>IF(OR($D29="",$E29=""),"",IF(AND($D29&lt;=J$5+6,$E29&gt;=J$5),1,""))</f>
        <v/>
      </c>
      <c r="K29" s="12">
        <f>IF(OR($D29="",$E29=""),"",IF(AND($D29&lt;=K$5+6,$E29&gt;=K$5),1,""))</f>
        <v/>
      </c>
      <c r="L29" s="12">
        <f>IF(OR($D29="",$E29=""),"",IF(AND($D29&lt;=L$5+6,$E29&gt;=L$5),1,""))</f>
        <v/>
      </c>
    </row>
    <row r="30">
      <c r="A30" s="9" t="inlineStr">
        <is>
          <t>5.3</t>
        </is>
      </c>
      <c r="B30" s="9" t="inlineStr">
        <is>
          <t>Découper et assembler la tour définitive</t>
        </is>
      </c>
      <c r="C30" s="9" t="inlineStr">
        <is>
          <t>Éric / Samuel</t>
        </is>
      </c>
      <c r="D30" s="10" t="n"/>
      <c r="E30" s="10" t="n"/>
      <c r="F30" s="11" t="inlineStr">
        <is>
          <t>Terminé</t>
        </is>
      </c>
      <c r="G30" s="9" t="inlineStr">
        <is>
          <t>Tour construite</t>
        </is>
      </c>
      <c r="H30" s="12">
        <f>IF(OR($D30="",$E30=""),"",IF(AND($D30&lt;=H$5+6,$E30&gt;=H$5),1,""))</f>
        <v/>
      </c>
      <c r="I30" s="12">
        <f>IF(OR($D30="",$E30=""),"",IF(AND($D30&lt;=I$5+6,$E30&gt;=I$5),1,""))</f>
        <v/>
      </c>
      <c r="J30" s="12">
        <f>IF(OR($D30="",$E30=""),"",IF(AND($D30&lt;=J$5+6,$E30&gt;=J$5),1,""))</f>
        <v/>
      </c>
      <c r="K30" s="12">
        <f>IF(OR($D30="",$E30=""),"",IF(AND($D30&lt;=K$5+6,$E30&gt;=K$5),1,""))</f>
        <v/>
      </c>
      <c r="L30" s="12">
        <f>IF(OR($D30="",$E30=""),"",IF(AND($D30&lt;=L$5+6,$E30&gt;=L$5),1,""))</f>
        <v/>
      </c>
    </row>
    <row r="31">
      <c r="A31" s="9" t="inlineStr">
        <is>
          <t>5.4</t>
        </is>
      </c>
      <c r="B31" s="9" t="inlineStr">
        <is>
          <t>Installer l'électronique, le haut-parleur et les capteurs dans la tour</t>
        </is>
      </c>
      <c r="C31" s="9" t="inlineStr">
        <is>
          <t>Éric / Samuel</t>
        </is>
      </c>
      <c r="D31" s="10" t="n">
        <v>46296</v>
      </c>
      <c r="E31" s="10" t="n">
        <v>46309</v>
      </c>
      <c r="F31" s="11" t="inlineStr">
        <is>
          <t>En cours</t>
        </is>
      </c>
      <c r="G31" s="9" t="inlineStr"/>
      <c r="H31" s="12">
        <f>IF(OR($D31="",$E31=""),"",IF(AND($D31&lt;=H$5+6,$E31&gt;=H$5),1,""))</f>
        <v/>
      </c>
      <c r="I31" s="12">
        <f>IF(OR($D31="",$E31=""),"",IF(AND($D31&lt;=I$5+6,$E31&gt;=I$5),1,""))</f>
        <v/>
      </c>
      <c r="J31" s="12">
        <f>IF(OR($D31="",$E31=""),"",IF(AND($D31&lt;=J$5+6,$E31&gt;=J$5),1,""))</f>
        <v/>
      </c>
      <c r="K31" s="12">
        <f>IF(OR($D31="",$E31=""),"",IF(AND($D31&lt;=K$5+6,$E31&gt;=K$5),1,""))</f>
        <v/>
      </c>
      <c r="L31" s="12">
        <f>IF(OR($D31="",$E31=""),"",IF(AND($D31&lt;=L$5+6,$E31&gt;=L$5),1,""))</f>
        <v/>
      </c>
    </row>
    <row r="32">
      <c r="A32" s="8" t="inlineStr">
        <is>
          <t>6. Circuit imprimé (PCB)</t>
        </is>
      </c>
      <c r="H32" s="8" t="n"/>
      <c r="I32" s="8" t="n"/>
      <c r="J32" s="8" t="n"/>
      <c r="K32" s="8" t="n"/>
      <c r="L32" s="8" t="n"/>
    </row>
    <row r="33">
      <c r="A33" s="9" t="inlineStr">
        <is>
          <t>6.1</t>
        </is>
      </c>
      <c r="B33" s="9" t="inlineStr">
        <is>
          <t>Dessiner le schéma à partir de la plaque d'essai</t>
        </is>
      </c>
      <c r="C33" s="9" t="inlineStr">
        <is>
          <t>Samuel</t>
        </is>
      </c>
      <c r="D33" s="10" t="n"/>
      <c r="E33" s="10" t="n">
        <v>46302</v>
      </c>
      <c r="F33" s="11" t="inlineStr">
        <is>
          <t>En cours</t>
        </is>
      </c>
      <c r="G33" s="9" t="inlineStr">
        <is>
          <t>Statut à vérifier</t>
        </is>
      </c>
      <c r="H33" s="12">
        <f>IF(OR($D33="",$E33=""),"",IF(AND($D33&lt;=H$5+6,$E33&gt;=H$5),1,""))</f>
        <v/>
      </c>
      <c r="I33" s="12">
        <f>IF(OR($D33="",$E33=""),"",IF(AND($D33&lt;=I$5+6,$E33&gt;=I$5),1,""))</f>
        <v/>
      </c>
      <c r="J33" s="12">
        <f>IF(OR($D33="",$E33=""),"",IF(AND($D33&lt;=J$5+6,$E33&gt;=J$5),1,""))</f>
        <v/>
      </c>
      <c r="K33" s="12">
        <f>IF(OR($D33="",$E33=""),"",IF(AND($D33&lt;=K$5+6,$E33&gt;=K$5),1,""))</f>
        <v/>
      </c>
      <c r="L33" s="12">
        <f>IF(OR($D33="",$E33=""),"",IF(AND($D33&lt;=L$5+6,$E33&gt;=L$5),1,""))</f>
        <v/>
      </c>
    </row>
    <row r="34">
      <c r="A34" s="9" t="inlineStr">
        <is>
          <t>6.2</t>
        </is>
      </c>
      <c r="B34" s="9" t="inlineStr">
        <is>
          <t>DÉCISION : PCB dans la V1 ou plus tard ?</t>
        </is>
      </c>
      <c r="C34" s="9" t="inlineStr">
        <is>
          <t>Éric / Samuel</t>
        </is>
      </c>
      <c r="D34" s="10" t="n">
        <v>46309</v>
      </c>
      <c r="E34" s="10" t="n">
        <v>46309</v>
      </c>
      <c r="F34" s="11" t="inlineStr">
        <is>
          <t>Non commencé</t>
        </is>
      </c>
      <c r="G34" s="9" t="inlineStr">
        <is>
          <t>Fabrication et livraison peuvent dépasser le 31 oct. Plan B : carte de prototype en V1, PCB en V2</t>
        </is>
      </c>
      <c r="H34" s="12">
        <f>IF(OR($D34="",$E34=""),"",IF(AND($D34&lt;=H$5+6,$E34&gt;=H$5),1,""))</f>
        <v/>
      </c>
      <c r="I34" s="12">
        <f>IF(OR($D34="",$E34=""),"",IF(AND($D34&lt;=I$5+6,$E34&gt;=I$5),1,""))</f>
        <v/>
      </c>
      <c r="J34" s="12">
        <f>IF(OR($D34="",$E34=""),"",IF(AND($D34&lt;=J$5+6,$E34&gt;=J$5),1,""))</f>
        <v/>
      </c>
      <c r="K34" s="12">
        <f>IF(OR($D34="",$E34=""),"",IF(AND($D34&lt;=K$5+6,$E34&gt;=K$5),1,""))</f>
        <v/>
      </c>
      <c r="L34" s="12">
        <f>IF(OR($D34="",$E34=""),"",IF(AND($D34&lt;=L$5+6,$E34&gt;=L$5),1,""))</f>
        <v/>
      </c>
    </row>
    <row r="35">
      <c r="A35" s="9" t="inlineStr">
        <is>
          <t>6.3</t>
        </is>
      </c>
      <c r="B35" s="9" t="inlineStr">
        <is>
          <t>Router et commander la carte</t>
        </is>
      </c>
      <c r="C35" s="9" t="inlineStr">
        <is>
          <t>Samuel</t>
        </is>
      </c>
      <c r="D35" s="10" t="n">
        <v>46303</v>
      </c>
      <c r="E35" s="10" t="n">
        <v>46312</v>
      </c>
      <c r="F35" s="11" t="inlineStr">
        <is>
          <t>Non commencé</t>
        </is>
      </c>
      <c r="G35" s="9" t="inlineStr">
        <is>
          <t>Seulement si le PCB reste dans la V1</t>
        </is>
      </c>
      <c r="H35" s="12">
        <f>IF(OR($D35="",$E35=""),"",IF(AND($D35&lt;=H$5+6,$E35&gt;=H$5),1,""))</f>
        <v/>
      </c>
      <c r="I35" s="12">
        <f>IF(OR($D35="",$E35=""),"",IF(AND($D35&lt;=I$5+6,$E35&gt;=I$5),1,""))</f>
        <v/>
      </c>
      <c r="J35" s="12">
        <f>IF(OR($D35="",$E35=""),"",IF(AND($D35&lt;=J$5+6,$E35&gt;=J$5),1,""))</f>
        <v/>
      </c>
      <c r="K35" s="12">
        <f>IF(OR($D35="",$E35=""),"",IF(AND($D35&lt;=K$5+6,$E35&gt;=K$5),1,""))</f>
        <v/>
      </c>
      <c r="L35" s="12">
        <f>IF(OR($D35="",$E35=""),"",IF(AND($D35&lt;=L$5+6,$E35&gt;=L$5),1,""))</f>
        <v/>
      </c>
    </row>
    <row r="36">
      <c r="A36" s="9" t="inlineStr">
        <is>
          <t>6.4</t>
        </is>
      </c>
      <c r="B36" s="9" t="inlineStr">
        <is>
          <t>Assembler et tester la carte</t>
        </is>
      </c>
      <c r="C36" s="9" t="inlineStr">
        <is>
          <t>Samuel</t>
        </is>
      </c>
      <c r="D36" s="10" t="n">
        <v>46313</v>
      </c>
      <c r="E36" s="10" t="n">
        <v>46323</v>
      </c>
      <c r="F36" s="11" t="inlineStr">
        <is>
          <t>Non commencé</t>
        </is>
      </c>
      <c r="G36" s="9" t="inlineStr">
        <is>
          <t>Seulement si le PCB reste dans la V1</t>
        </is>
      </c>
      <c r="H36" s="12">
        <f>IF(OR($D36="",$E36=""),"",IF(AND($D36&lt;=H$5+6,$E36&gt;=H$5),1,""))</f>
        <v/>
      </c>
      <c r="I36" s="12">
        <f>IF(OR($D36="",$E36=""),"",IF(AND($D36&lt;=I$5+6,$E36&gt;=I$5),1,""))</f>
        <v/>
      </c>
      <c r="J36" s="12">
        <f>IF(OR($D36="",$E36=""),"",IF(AND($D36&lt;=J$5+6,$E36&gt;=J$5),1,""))</f>
        <v/>
      </c>
      <c r="K36" s="12">
        <f>IF(OR($D36="",$E36=""),"",IF(AND($D36&lt;=K$5+6,$E36&gt;=K$5),1,""))</f>
        <v/>
      </c>
      <c r="L36" s="12">
        <f>IF(OR($D36="",$E36=""),"",IF(AND($D36&lt;=L$5+6,$E36&gt;=L$5),1,""))</f>
        <v/>
      </c>
    </row>
    <row r="37">
      <c r="A37" s="8" t="inlineStr">
        <is>
          <t>7. Essais et livraison</t>
        </is>
      </c>
      <c r="H37" s="8" t="n"/>
      <c r="I37" s="8" t="n"/>
      <c r="J37" s="8" t="n"/>
      <c r="K37" s="8" t="n"/>
      <c r="L37" s="8" t="n"/>
    </row>
    <row r="38">
      <c r="A38" s="9" t="inlineStr">
        <is>
          <t>7.1</t>
        </is>
      </c>
      <c r="B38" s="9" t="inlineStr">
        <is>
          <t>Essai complet de la tour assemblée</t>
        </is>
      </c>
      <c r="C38" s="9" t="inlineStr">
        <is>
          <t>Éric</t>
        </is>
      </c>
      <c r="D38" s="10" t="n">
        <v>46317</v>
      </c>
      <c r="E38" s="10" t="n">
        <v>46324</v>
      </c>
      <c r="F38" s="11" t="inlineStr">
        <is>
          <t>Non commencé</t>
        </is>
      </c>
      <c r="G38" s="9" t="inlineStr"/>
      <c r="H38" s="12">
        <f>IF(OR($D38="",$E38=""),"",IF(AND($D38&lt;=H$5+6,$E38&gt;=H$5),1,""))</f>
        <v/>
      </c>
      <c r="I38" s="12">
        <f>IF(OR($D38="",$E38=""),"",IF(AND($D38&lt;=I$5+6,$E38&gt;=I$5),1,""))</f>
        <v/>
      </c>
      <c r="J38" s="12">
        <f>IF(OR($D38="",$E38=""),"",IF(AND($D38&lt;=J$5+6,$E38&gt;=J$5),1,""))</f>
        <v/>
      </c>
      <c r="K38" s="12">
        <f>IF(OR($D38="",$E38=""),"",IF(AND($D38&lt;=K$5+6,$E38&gt;=K$5),1,""))</f>
        <v/>
      </c>
      <c r="L38" s="12">
        <f>IF(OR($D38="",$E38=""),"",IF(AND($D38&lt;=L$5+6,$E38&gt;=L$5),1,""))</f>
        <v/>
      </c>
    </row>
    <row r="39">
      <c r="A39" s="9" t="inlineStr">
        <is>
          <t>7.2</t>
        </is>
      </c>
      <c r="B39" s="9" t="inlineStr">
        <is>
          <t>Essai avec quelques bénévoles, relevé des problèmes</t>
        </is>
      </c>
      <c r="C39" s="9" t="inlineStr">
        <is>
          <t>Éric</t>
        </is>
      </c>
      <c r="D39" s="10" t="n">
        <v>46324</v>
      </c>
      <c r="E39" s="10" t="n">
        <v>46325</v>
      </c>
      <c r="F39" s="11" t="inlineStr">
        <is>
          <t>Non commencé</t>
        </is>
      </c>
      <c r="G39" s="9" t="inlineStr"/>
      <c r="H39" s="12">
        <f>IF(OR($D39="",$E39=""),"",IF(AND($D39&lt;=H$5+6,$E39&gt;=H$5),1,""))</f>
        <v/>
      </c>
      <c r="I39" s="12">
        <f>IF(OR($D39="",$E39=""),"",IF(AND($D39&lt;=I$5+6,$E39&gt;=I$5),1,""))</f>
        <v/>
      </c>
      <c r="J39" s="12">
        <f>IF(OR($D39="",$E39=""),"",IF(AND($D39&lt;=J$5+6,$E39&gt;=J$5),1,""))</f>
        <v/>
      </c>
      <c r="K39" s="12">
        <f>IF(OR($D39="",$E39=""),"",IF(AND($D39&lt;=K$5+6,$E39&gt;=K$5),1,""))</f>
        <v/>
      </c>
      <c r="L39" s="12">
        <f>IF(OR($D39="",$E39=""),"",IF(AND($D39&lt;=L$5+6,$E39&gt;=L$5),1,""))</f>
        <v/>
      </c>
    </row>
    <row r="40">
      <c r="A40" s="9" t="inlineStr">
        <is>
          <t>7.3</t>
        </is>
      </c>
      <c r="B40" s="9" t="inlineStr">
        <is>
          <t>Première version prête</t>
        </is>
      </c>
      <c r="C40" s="9" t="inlineStr">
        <is>
          <t>Éric</t>
        </is>
      </c>
      <c r="D40" s="10" t="n">
        <v>46326</v>
      </c>
      <c r="E40" s="10" t="n">
        <v>46326</v>
      </c>
      <c r="F40" s="11" t="inlineStr">
        <is>
          <t>Non commencé</t>
        </is>
      </c>
      <c r="G40" s="9" t="inlineStr">
        <is>
          <t>Jalon</t>
        </is>
      </c>
      <c r="H40" s="12">
        <f>IF(OR($D40="",$E40=""),"",IF(AND($D40&lt;=H$5+6,$E40&gt;=H$5),1,""))</f>
        <v/>
      </c>
      <c r="I40" s="12">
        <f>IF(OR($D40="",$E40=""),"",IF(AND($D40&lt;=I$5+6,$E40&gt;=I$5),1,""))</f>
        <v/>
      </c>
      <c r="J40" s="12">
        <f>IF(OR($D40="",$E40=""),"",IF(AND($D40&lt;=J$5+6,$E40&gt;=J$5),1,""))</f>
        <v/>
      </c>
      <c r="K40" s="12">
        <f>IF(OR($D40="",$E40=""),"",IF(AND($D40&lt;=K$5+6,$E40&gt;=K$5),1,""))</f>
        <v/>
      </c>
      <c r="L40" s="12">
        <f>IF(OR($D40="",$E40=""),"",IF(AND($D40&lt;=L$5+6,$E40&gt;=L$5),1,""))</f>
        <v/>
      </c>
    </row>
  </sheetData>
  <mergeCells count="7">
    <mergeCell ref="A32:G32"/>
    <mergeCell ref="A18:G18"/>
    <mergeCell ref="A27:G27"/>
    <mergeCell ref="A6:G6"/>
    <mergeCell ref="A12:G12"/>
    <mergeCell ref="A37:G37"/>
    <mergeCell ref="A23:G23"/>
  </mergeCells>
  <conditionalFormatting sqref="H6:L40">
    <cfRule type="expression" priority="1" dxfId="0" stopIfTrue="1">
      <formula>AND(H6=1,$F6="Terminé")</formula>
    </cfRule>
    <cfRule type="expression" priority="2" dxfId="1" stopIfTrue="1">
      <formula>AND(H6=1,$F6="Bloqué")</formula>
    </cfRule>
    <cfRule type="expression" priority="3" dxfId="2">
      <formula>H6=1</formula>
    </cfRule>
  </conditionalFormatting>
  <conditionalFormatting sqref="F6:F40">
    <cfRule type="cellIs" priority="4" operator="equal" dxfId="3">
      <formula>"Terminé"</formula>
    </cfRule>
    <cfRule type="cellIs" priority="5" operator="equal" dxfId="4">
      <formula>"En cours"</formula>
    </cfRule>
    <cfRule type="cellIs" priority="6" operator="equal" dxfId="5">
      <formula>"Bloqué"</formula>
    </cfRule>
  </conditionalFormatting>
  <conditionalFormatting sqref="E6:E40">
    <cfRule type="expression" priority="7" dxfId="6">
      <formula>AND(ISNUMBER(E6),E6&lt;TODAY(),$F6&lt;&gt;"Terminé")</formula>
    </cfRule>
  </conditionalFormatting>
  <dataValidations count="1">
    <dataValidation sqref="F7 F8 F9 F10 F11 F13 F14 F15 F16 F17 F19 F20 F21 F22 F24 F25 F26 F28 F29 F30 F31 F33 F34 F35 F36 F38 F39 F40" showDropDown="0" showInputMessage="0" showErrorMessage="0" allowBlank="0" type="list">
      <formula1>"Non commencé,En cours,Bloqué,Terminé"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3" t="inlineStr">
        <is>
          <t>Avancement par phase</t>
        </is>
      </c>
    </row>
    <row r="3">
      <c r="A3" s="14" t="inlineStr">
        <is>
          <t>Phase</t>
        </is>
      </c>
      <c r="B3" s="14" t="inlineStr">
        <is>
          <t>Tâches</t>
        </is>
      </c>
      <c r="C3" s="14" t="inlineStr">
        <is>
          <t>Terminées</t>
        </is>
      </c>
      <c r="D3" s="14" t="inlineStr">
        <is>
          <t>En cours</t>
        </is>
      </c>
      <c r="E3" s="14" t="inlineStr">
        <is>
          <t>Bloquées</t>
        </is>
      </c>
      <c r="F3" s="14" t="inlineStr">
        <is>
          <t>% terminé</t>
        </is>
      </c>
    </row>
    <row r="4">
      <c r="A4" t="inlineStr">
        <is>
          <t>1. Décisions et lancement</t>
        </is>
      </c>
      <c r="B4">
        <f>COUNTA(Plan!B7:B11)</f>
        <v/>
      </c>
      <c r="C4">
        <f>COUNTIF(Plan!F7:F11,"Terminé")</f>
        <v/>
      </c>
      <c r="D4">
        <f>COUNTIF(Plan!F7:F11,"En cours")</f>
        <v/>
      </c>
      <c r="E4">
        <f>COUNTIF(Plan!F7:F11,"Bloqué")</f>
        <v/>
      </c>
      <c r="F4" s="15">
        <f>C4/B4</f>
        <v/>
      </c>
    </row>
    <row r="5">
      <c r="A5" t="inlineStr">
        <is>
          <t>2. Prototype électronique (plaque d'essai)</t>
        </is>
      </c>
      <c r="B5">
        <f>COUNTA(Plan!B13:B17)</f>
        <v/>
      </c>
      <c r="C5">
        <f>COUNTIF(Plan!F13:F17,"Terminé")</f>
        <v/>
      </c>
      <c r="D5">
        <f>COUNTIF(Plan!F13:F17,"En cours")</f>
        <v/>
      </c>
      <c r="E5">
        <f>COUNTIF(Plan!F13:F17,"Bloqué")</f>
        <v/>
      </c>
      <c r="F5" s="15">
        <f>C5/B5</f>
        <v/>
      </c>
    </row>
    <row r="6">
      <c r="A6" t="inlineStr">
        <is>
          <t>3. Logiciel</t>
        </is>
      </c>
      <c r="B6">
        <f>COUNTA(Plan!B19:B22)</f>
        <v/>
      </c>
      <c r="C6">
        <f>COUNTIF(Plan!F19:F22,"Terminé")</f>
        <v/>
      </c>
      <c r="D6">
        <f>COUNTIF(Plan!F19:F22,"En cours")</f>
        <v/>
      </c>
      <c r="E6">
        <f>COUNTIF(Plan!F19:F22,"Bloqué")</f>
        <v/>
      </c>
      <c r="F6" s="15">
        <f>C6/B6</f>
        <v/>
      </c>
    </row>
    <row r="7">
      <c r="A7" t="inlineStr">
        <is>
          <t>4. Contenu sonore</t>
        </is>
      </c>
      <c r="B7">
        <f>COUNTA(Plan!B24:B26)</f>
        <v/>
      </c>
      <c r="C7">
        <f>COUNTIF(Plan!F24:F26,"Terminé")</f>
        <v/>
      </c>
      <c r="D7">
        <f>COUNTIF(Plan!F24:F26,"En cours")</f>
        <v/>
      </c>
      <c r="E7">
        <f>COUNTIF(Plan!F24:F26,"Bloqué")</f>
        <v/>
      </c>
      <c r="F7" s="15">
        <f>C7/B7</f>
        <v/>
      </c>
    </row>
    <row r="8">
      <c r="A8" t="inlineStr">
        <is>
          <t>5. Structure de la tour</t>
        </is>
      </c>
      <c r="B8">
        <f>COUNTA(Plan!B28:B31)</f>
        <v/>
      </c>
      <c r="C8">
        <f>COUNTIF(Plan!F28:F31,"Terminé")</f>
        <v/>
      </c>
      <c r="D8">
        <f>COUNTIF(Plan!F28:F31,"En cours")</f>
        <v/>
      </c>
      <c r="E8">
        <f>COUNTIF(Plan!F28:F31,"Bloqué")</f>
        <v/>
      </c>
      <c r="F8" s="15">
        <f>C8/B8</f>
        <v/>
      </c>
    </row>
    <row r="9">
      <c r="A9" t="inlineStr">
        <is>
          <t>6. Circuit imprimé (PCB)</t>
        </is>
      </c>
      <c r="B9">
        <f>COUNTA(Plan!B33:B36)</f>
        <v/>
      </c>
      <c r="C9">
        <f>COUNTIF(Plan!F33:F36,"Terminé")</f>
        <v/>
      </c>
      <c r="D9">
        <f>COUNTIF(Plan!F33:F36,"En cours")</f>
        <v/>
      </c>
      <c r="E9">
        <f>COUNTIF(Plan!F33:F36,"Bloqué")</f>
        <v/>
      </c>
      <c r="F9" s="15">
        <f>C9/B9</f>
        <v/>
      </c>
    </row>
    <row r="10">
      <c r="A10" t="inlineStr">
        <is>
          <t>7. Essais et livraison</t>
        </is>
      </c>
      <c r="B10">
        <f>COUNTA(Plan!B38:B40)</f>
        <v/>
      </c>
      <c r="C10">
        <f>COUNTIF(Plan!F38:F40,"Terminé")</f>
        <v/>
      </c>
      <c r="D10">
        <f>COUNTIF(Plan!F38:F40,"En cours")</f>
        <v/>
      </c>
      <c r="E10">
        <f>COUNTIF(Plan!F38:F40,"Bloqué")</f>
        <v/>
      </c>
      <c r="F10" s="15">
        <f>C10/B10</f>
        <v/>
      </c>
    </row>
    <row r="11">
      <c r="A11" s="16" t="inlineStr">
        <is>
          <t>Ensemble du projet</t>
        </is>
      </c>
      <c r="B11" s="16">
        <f>SUM(B4:B10)</f>
        <v/>
      </c>
      <c r="C11" s="16">
        <f>SUM(C4:C10)</f>
        <v/>
      </c>
      <c r="D11" s="16">
        <f>SUM(D4:D10)</f>
        <v/>
      </c>
      <c r="E11" s="16">
        <f>SUM(E4:E10)</f>
        <v/>
      </c>
      <c r="F11" s="17">
        <f>C11/B11</f>
        <v/>
      </c>
    </row>
    <row r="14">
      <c r="A14" s="13" t="inlineStr">
        <is>
          <t>Jalons</t>
        </is>
      </c>
    </row>
    <row r="15">
      <c r="A15" t="inlineStr">
        <is>
          <t>Décisions prises (langues, profil RFID, LED, format du contenu)</t>
        </is>
      </c>
      <c r="B15" s="18" t="n">
        <v>46302</v>
      </c>
    </row>
    <row r="16">
      <c r="A16" t="inlineStr">
        <is>
          <t>PCB : décision oui / non pour la V1</t>
        </is>
      </c>
      <c r="B16" s="18" t="n">
        <v>46309</v>
      </c>
    </row>
    <row r="17">
      <c r="A17" t="inlineStr">
        <is>
          <t>Logiciel terminé et testé en lecture continue</t>
        </is>
      </c>
      <c r="B17" s="18" t="n">
        <v>46316</v>
      </c>
    </row>
    <row r="18">
      <c r="A18" t="inlineStr">
        <is>
          <t>Fichiers sonores chargés et testés</t>
        </is>
      </c>
      <c r="B18" s="18" t="n">
        <v>46323</v>
      </c>
    </row>
    <row r="19">
      <c r="A19" t="inlineStr">
        <is>
          <t>Première version prête</t>
        </is>
      </c>
      <c r="B19" s="18" t="n">
        <v>46326</v>
      </c>
    </row>
  </sheetData>
  <conditionalFormatting sqref="F4:F11">
    <cfRule type="dataBar" priority="1">
      <dataBar>
        <cfvo type="num" val="0"/>
        <cfvo type="num" val="1"/>
        <color rgb="006F97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62" customWidth="1" min="2" max="2"/>
    <col width="62" customWidth="1" min="3" max="3"/>
  </cols>
  <sheetData>
    <row r="1">
      <c r="A1" s="13" t="inlineStr">
        <is>
          <t>Risques et points ouverts</t>
        </is>
      </c>
    </row>
    <row r="3">
      <c r="A3" s="19" t="inlineStr">
        <is>
          <t>Type</t>
        </is>
      </c>
      <c r="B3" s="19" t="inlineStr">
        <is>
          <t>Point</t>
        </is>
      </c>
      <c r="C3" s="19" t="inlineStr">
        <is>
          <t>Action proposée</t>
        </is>
      </c>
    </row>
    <row r="4">
      <c r="A4" s="20" t="inlineStr">
        <is>
          <t>Risque</t>
        </is>
      </c>
      <c r="B4" s="20" t="inlineStr">
        <is>
          <t>PCB : délai de fabrication et de livraison par rapport au 31 oct.</t>
        </is>
      </c>
      <c r="C4" s="20" t="inlineStr">
        <is>
          <t>Samuel confirme le délai de commande. Décision le 14 oct. Plan B : carte de prototype en V1</t>
        </is>
      </c>
    </row>
    <row r="5">
      <c r="A5" s="20" t="inlineStr">
        <is>
          <t>Risque</t>
        </is>
      </c>
      <c r="B5" s="20" t="inlineStr">
        <is>
          <t>Le contenu sonore dépend du partenaire, hors du contrôle du groupe</t>
        </is>
      </c>
      <c r="C5" s="20" t="inlineStr">
        <is>
          <t>Fixer une date de livraison et relancer chaque semaine. Tester avec des sons provisoires</t>
        </is>
      </c>
    </row>
    <row r="6">
      <c r="A6" s="20" t="inlineStr">
        <is>
          <t>Risque</t>
        </is>
      </c>
      <c r="B6" s="20" t="inlineStr">
        <is>
          <t>Composants encore manquants</t>
        </is>
      </c>
      <c r="C6" s="20" t="inlineStr">
        <is>
          <t>Lister ce qui manque et commander cette semaine</t>
        </is>
      </c>
    </row>
    <row r="7">
      <c r="A7" s="20" t="inlineStr">
        <is>
          <t>Risque</t>
        </is>
      </c>
      <c r="B7" s="20" t="inlineStr">
        <is>
          <t>Lecture continue : fiabilité non encore prouvée sur la durée</t>
        </is>
      </c>
      <c r="C7" s="20" t="inlineStr">
        <is>
          <t>Essai de plusieurs heures avant le 21 oct.</t>
        </is>
      </c>
    </row>
    <row r="8">
      <c r="A8" s="20" t="inlineStr">
        <is>
          <t>Ouvert</t>
        </is>
      </c>
      <c r="B8" s="20" t="inlineStr">
        <is>
          <t>Liste définitive des langues (gallo inclus ?)</t>
        </is>
      </c>
      <c r="C8" s="20" t="inlineStr">
        <is>
          <t>Confirmer</t>
        </is>
      </c>
    </row>
    <row r="9">
      <c r="A9" s="20" t="inlineStr">
        <is>
          <t>Ouvert</t>
        </is>
      </c>
      <c r="B9" s="20" t="inlineStr">
        <is>
          <t>Profil écrit sur la puce RFID à l'accueil : dans la V1 ?</t>
        </is>
      </c>
      <c r="C9" s="20" t="inlineStr">
        <is>
          <t>Décider. Non défini dans le briefing</t>
        </is>
      </c>
    </row>
    <row r="10">
      <c r="A10" s="20" t="inlineStr">
        <is>
          <t>Ouvert</t>
        </is>
      </c>
      <c r="B10" s="20" t="inlineStr">
        <is>
          <t>Qui s'occupe de quoi ? Plusieurs tâches sont « À attribuer »</t>
        </is>
      </c>
      <c r="C10" s="20" t="inlineStr">
        <is>
          <t>Répartir à la prochaine réunion</t>
        </is>
      </c>
    </row>
    <row r="11">
      <c r="A11" s="20" t="inlineStr">
        <is>
          <t>Ouvert</t>
        </is>
      </c>
      <c r="B11" s="20" t="inlineStr">
        <is>
          <t>Qui est le partenaire de contenu et quel format de fichier livre-t-il ?</t>
        </is>
      </c>
      <c r="C11" s="20" t="inlineStr">
        <is>
          <t>Éric confirme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2026-09-30T09:38:57Z</dcterms:created>
  <dcterms:modified xmlns:dcterms="http://purl.org/dc/terms/" xmlns:xsi="http://www.w3.org/2001/XMLSchema-instance" xsi:type="dcterms:W3CDTF">2026-09-30T09:38:57Z</dcterms:modified>
</cp:coreProperties>
</file>